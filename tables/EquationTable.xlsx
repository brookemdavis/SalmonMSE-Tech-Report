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br\Documents\SalmonMSE-Tech-Report\tables\"/>
    </mc:Choice>
  </mc:AlternateContent>
  <xr:revisionPtr revIDLastSave="0" documentId="13_ncr:1_{BB1989BA-3610-4502-8E7F-4EA017CFEFC8}" xr6:coauthVersionLast="47" xr6:coauthVersionMax="47" xr10:uidLastSave="{00000000-0000-0000-0000-000000000000}"/>
  <bookViews>
    <workbookView xWindow="-33768" yWindow="-4380" windowWidth="10476" windowHeight="16440" xr2:uid="{711B29A3-FC20-40C1-A5E5-A5DE4D99F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</calcChain>
</file>

<file path=xl/sharedStrings.xml><?xml version="1.0" encoding="utf-8"?>
<sst xmlns="http://schemas.openxmlformats.org/spreadsheetml/2006/main" count="111" uniqueCount="59">
  <si>
    <t>Function</t>
  </si>
  <si>
    <t>File</t>
  </si>
  <si>
    <t>Eq_Code</t>
  </si>
  <si>
    <t>Eq_Desc</t>
  </si>
  <si>
    <t>SpawnOutput</t>
  </si>
  <si>
    <t>EggSmoltBH</t>
  </si>
  <si>
    <t>SmoltProdRicker</t>
  </si>
  <si>
    <t>EggProdHabitat</t>
  </si>
  <si>
    <t>FryProdHabitat</t>
  </si>
  <si>
    <t>SmoltProdHabitat</t>
  </si>
  <si>
    <t>HockeyStick</t>
  </si>
  <si>
    <t>Broodtake</t>
  </si>
  <si>
    <t>BroodtakeImportStray</t>
  </si>
  <si>
    <t>EggProd</t>
  </si>
  <si>
    <t>EggTarget</t>
  </si>
  <si>
    <t>pBroodtake</t>
  </si>
  <si>
    <t>ProdYearSubYear</t>
  </si>
  <si>
    <t>SmoltRel1</t>
  </si>
  <si>
    <t>SmoltRel2</t>
  </si>
  <si>
    <t>Eggsum</t>
  </si>
  <si>
    <t>YearlingTarget</t>
  </si>
  <si>
    <t>SubyearlingTarget</t>
  </si>
  <si>
    <t>PTKeptCatch</t>
  </si>
  <si>
    <t>FishMortCTarget</t>
  </si>
  <si>
    <t>Recruitment</t>
  </si>
  <si>
    <t>JuvAbund</t>
  </si>
  <si>
    <t>TermCatch</t>
  </si>
  <si>
    <t>CatchTarget</t>
  </si>
  <si>
    <t>Escapement</t>
  </si>
  <si>
    <t>NOS</t>
  </si>
  <si>
    <t>FitnessLoss</t>
  </si>
  <si>
    <t>MeanFitness</t>
  </si>
  <si>
    <t>MeanPhenotype</t>
  </si>
  <si>
    <t>TraitValue</t>
  </si>
  <si>
    <t>TraitValueNatural</t>
  </si>
  <si>
    <t>TraitValueHatchery</t>
  </si>
  <si>
    <t>GenMeanFitness</t>
  </si>
  <si>
    <t>MTVMixedNatural</t>
  </si>
  <si>
    <t>MTVMixedHatchery</t>
  </si>
  <si>
    <t>MixedpNOS</t>
  </si>
  <si>
    <t>MixedpHOSeff</t>
  </si>
  <si>
    <t>MixedpNOB</t>
  </si>
  <si>
    <t>MixedpHOB</t>
  </si>
  <si>
    <t>EggFryFitness</t>
  </si>
  <si>
    <t>RickerBeta</t>
  </si>
  <si>
    <t>MarineMortIncrease</t>
  </si>
  <si>
    <t>ProdAdjusted</t>
  </si>
  <si>
    <t>PNI</t>
  </si>
  <si>
    <t>AllImportPNI</t>
  </si>
  <si>
    <t>pWild</t>
  </si>
  <si>
    <t>pWildMixed</t>
  </si>
  <si>
    <t>FishMortHatchery</t>
  </si>
  <si>
    <t>FishMortNatural</t>
  </si>
  <si>
    <t>KeptCatchMS</t>
  </si>
  <si>
    <t>HarvTargetMS</t>
  </si>
  <si>
    <t>CatchTargetMS</t>
  </si>
  <si>
    <t>ExpRateMS</t>
  </si>
  <si>
    <t>Eq_Num</t>
  </si>
  <si>
    <t>Test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</si>
</sst>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E9D-B707-44BB-BDFC-1893328C0FC3}">
  <dimension ref="A1:E54"/>
  <sheetViews>
    <sheetView tabSelected="1" workbookViewId="0">
      <selection activeCell="B2" sqref="B2:B54"/>
    </sheetView>
  </sheetViews>
  <sheetFormatPr defaultRowHeight="14.4" x14ac:dyDescent="0.3"/>
  <cols>
    <col min="1" max="1" width="20.5546875" customWidth="1"/>
    <col min="2" max="2" width="34.21875" customWidth="1"/>
    <col min="3" max="3" width="22.44140625" customWidth="1"/>
    <col min="4" max="4" width="13.5546875" customWidth="1"/>
    <col min="5" max="5" width="11.6640625" customWidth="1"/>
  </cols>
  <sheetData>
    <row r="1" spans="1:5" x14ac:dyDescent="0.3">
      <c r="A1" t="s">
        <v>2</v>
      </c>
      <c r="B1" t="s">
        <v>57</v>
      </c>
      <c r="C1" t="s">
        <v>3</v>
      </c>
      <c r="D1" t="s">
        <v>0</v>
      </c>
      <c r="E1" t="s">
        <v>1</v>
      </c>
    </row>
    <row r="2" spans="1:5" x14ac:dyDescent="0.3">
      <c r="A2" t="s">
        <v>4</v>
      </c>
      <c r="B2" t="str">
        <f>_xlfn.TEXTJOIN("", TRUE, "\@ref(eq:", A2,")")</f>
        <v>\@ref(eq:SpawnOutput)</v>
      </c>
      <c r="C2" t="s">
        <v>58</v>
      </c>
    </row>
    <row r="3" spans="1:5" x14ac:dyDescent="0.3">
      <c r="A3" t="s">
        <v>5</v>
      </c>
      <c r="B3" t="str">
        <f t="shared" ref="B3:B54" si="0">_xlfn.TEXTJOIN("", TRUE, "\@ref(eq:", A3,")")</f>
        <v>\@ref(eq:EggSmoltBH)</v>
      </c>
      <c r="C3" t="s">
        <v>58</v>
      </c>
    </row>
    <row r="4" spans="1:5" x14ac:dyDescent="0.3">
      <c r="A4" t="s">
        <v>6</v>
      </c>
      <c r="B4" t="str">
        <f t="shared" si="0"/>
        <v>\@ref(eq:SmoltProdRicker)</v>
      </c>
      <c r="C4" t="s">
        <v>58</v>
      </c>
    </row>
    <row r="5" spans="1:5" x14ac:dyDescent="0.3">
      <c r="A5" t="s">
        <v>7</v>
      </c>
      <c r="B5" t="str">
        <f t="shared" si="0"/>
        <v>\@ref(eq:EggProdHabitat)</v>
      </c>
      <c r="C5" t="s">
        <v>58</v>
      </c>
    </row>
    <row r="6" spans="1:5" x14ac:dyDescent="0.3">
      <c r="A6" t="s">
        <v>8</v>
      </c>
      <c r="B6" t="str">
        <f t="shared" si="0"/>
        <v>\@ref(eq:FryProdHabitat)</v>
      </c>
      <c r="C6" t="s">
        <v>58</v>
      </c>
    </row>
    <row r="7" spans="1:5" x14ac:dyDescent="0.3">
      <c r="A7" t="s">
        <v>9</v>
      </c>
      <c r="B7" t="str">
        <f t="shared" si="0"/>
        <v>\@ref(eq:SmoltProdHabitat)</v>
      </c>
      <c r="C7" t="s">
        <v>58</v>
      </c>
    </row>
    <row r="8" spans="1:5" x14ac:dyDescent="0.3">
      <c r="A8" t="s">
        <v>10</v>
      </c>
      <c r="B8" t="str">
        <f t="shared" si="0"/>
        <v>\@ref(eq:HockeyStick)</v>
      </c>
      <c r="C8" t="s">
        <v>58</v>
      </c>
    </row>
    <row r="9" spans="1:5" x14ac:dyDescent="0.3">
      <c r="A9" t="s">
        <v>14</v>
      </c>
      <c r="B9" t="str">
        <f t="shared" si="0"/>
        <v>\@ref(eq:EggTarget)</v>
      </c>
      <c r="C9" t="s">
        <v>58</v>
      </c>
    </row>
    <row r="10" spans="1:5" x14ac:dyDescent="0.3">
      <c r="A10" t="s">
        <v>11</v>
      </c>
      <c r="B10" t="str">
        <f t="shared" si="0"/>
        <v>\@ref(eq:Broodtake)</v>
      </c>
      <c r="C10" t="s">
        <v>58</v>
      </c>
    </row>
    <row r="11" spans="1:5" x14ac:dyDescent="0.3">
      <c r="A11" t="s">
        <v>12</v>
      </c>
      <c r="B11" t="str">
        <f t="shared" si="0"/>
        <v>\@ref(eq:BroodtakeImportStray)</v>
      </c>
      <c r="C11" t="s">
        <v>58</v>
      </c>
    </row>
    <row r="12" spans="1:5" x14ac:dyDescent="0.3">
      <c r="A12" t="s">
        <v>13</v>
      </c>
      <c r="B12" t="str">
        <f t="shared" si="0"/>
        <v>\@ref(eq:EggProd)</v>
      </c>
      <c r="C12" t="s">
        <v>58</v>
      </c>
    </row>
    <row r="13" spans="1:5" x14ac:dyDescent="0.3">
      <c r="A13" t="s">
        <v>15</v>
      </c>
      <c r="B13" t="str">
        <f t="shared" si="0"/>
        <v>\@ref(eq:pBroodtake)</v>
      </c>
      <c r="C13" t="s">
        <v>58</v>
      </c>
    </row>
    <row r="14" spans="1:5" x14ac:dyDescent="0.3">
      <c r="A14" t="s">
        <v>19</v>
      </c>
      <c r="B14" t="str">
        <f t="shared" si="0"/>
        <v>\@ref(eq:Eggsum)</v>
      </c>
      <c r="C14" t="s">
        <v>58</v>
      </c>
    </row>
    <row r="15" spans="1:5" x14ac:dyDescent="0.3">
      <c r="A15" t="s">
        <v>20</v>
      </c>
      <c r="B15" t="str">
        <f t="shared" si="0"/>
        <v>\@ref(eq:YearlingTarget)</v>
      </c>
      <c r="C15" t="s">
        <v>58</v>
      </c>
    </row>
    <row r="16" spans="1:5" x14ac:dyDescent="0.3">
      <c r="A16" t="s">
        <v>21</v>
      </c>
      <c r="B16" t="str">
        <f t="shared" si="0"/>
        <v>\@ref(eq:SubyearlingTarget)</v>
      </c>
      <c r="C16" t="s">
        <v>58</v>
      </c>
    </row>
    <row r="17" spans="1:3" x14ac:dyDescent="0.3">
      <c r="A17" t="s">
        <v>16</v>
      </c>
      <c r="B17" t="str">
        <f t="shared" si="0"/>
        <v>\@ref(eq:ProdYearSubYear)</v>
      </c>
      <c r="C17" t="s">
        <v>58</v>
      </c>
    </row>
    <row r="18" spans="1:3" x14ac:dyDescent="0.3">
      <c r="A18" t="s">
        <v>17</v>
      </c>
      <c r="B18" t="str">
        <f t="shared" si="0"/>
        <v>\@ref(eq:SmoltRel1)</v>
      </c>
      <c r="C18" t="s">
        <v>58</v>
      </c>
    </row>
    <row r="19" spans="1:3" x14ac:dyDescent="0.3">
      <c r="A19" t="s">
        <v>18</v>
      </c>
      <c r="B19" t="str">
        <f t="shared" si="0"/>
        <v>\@ref(eq:SmoltRel2)</v>
      </c>
      <c r="C19" t="s">
        <v>58</v>
      </c>
    </row>
    <row r="20" spans="1:3" x14ac:dyDescent="0.3">
      <c r="A20" t="s">
        <v>22</v>
      </c>
      <c r="B20" t="str">
        <f t="shared" si="0"/>
        <v>\@ref(eq:PTKeptCatch)</v>
      </c>
      <c r="C20" t="s">
        <v>58</v>
      </c>
    </row>
    <row r="21" spans="1:3" x14ac:dyDescent="0.3">
      <c r="A21" t="s">
        <v>23</v>
      </c>
      <c r="B21" t="str">
        <f t="shared" si="0"/>
        <v>\@ref(eq:FishMortCTarget)</v>
      </c>
      <c r="C21" t="s">
        <v>58</v>
      </c>
    </row>
    <row r="22" spans="1:3" x14ac:dyDescent="0.3">
      <c r="A22" t="s">
        <v>24</v>
      </c>
      <c r="B22" t="str">
        <f t="shared" si="0"/>
        <v>\@ref(eq:Recruitment)</v>
      </c>
      <c r="C22" t="s">
        <v>58</v>
      </c>
    </row>
    <row r="23" spans="1:3" x14ac:dyDescent="0.3">
      <c r="A23" t="s">
        <v>25</v>
      </c>
      <c r="B23" t="str">
        <f t="shared" si="0"/>
        <v>\@ref(eq:JuvAbund)</v>
      </c>
      <c r="C23" t="s">
        <v>58</v>
      </c>
    </row>
    <row r="24" spans="1:3" x14ac:dyDescent="0.3">
      <c r="A24" t="s">
        <v>26</v>
      </c>
      <c r="B24" t="str">
        <f t="shared" si="0"/>
        <v>\@ref(eq:TermCatch)</v>
      </c>
      <c r="C24" t="s">
        <v>58</v>
      </c>
    </row>
    <row r="25" spans="1:3" x14ac:dyDescent="0.3">
      <c r="A25" t="s">
        <v>27</v>
      </c>
      <c r="B25" t="str">
        <f t="shared" si="0"/>
        <v>\@ref(eq:CatchTarget)</v>
      </c>
      <c r="C25" t="s">
        <v>58</v>
      </c>
    </row>
    <row r="26" spans="1:3" x14ac:dyDescent="0.3">
      <c r="A26" t="s">
        <v>28</v>
      </c>
      <c r="B26" t="str">
        <f t="shared" si="0"/>
        <v>\@ref(eq:Escapement)</v>
      </c>
      <c r="C26" t="s">
        <v>58</v>
      </c>
    </row>
    <row r="27" spans="1:3" x14ac:dyDescent="0.3">
      <c r="A27" t="s">
        <v>29</v>
      </c>
      <c r="B27" t="str">
        <f t="shared" si="0"/>
        <v>\@ref(eq:NOS)</v>
      </c>
      <c r="C27" t="s">
        <v>58</v>
      </c>
    </row>
    <row r="28" spans="1:3" x14ac:dyDescent="0.3">
      <c r="A28" t="s">
        <v>30</v>
      </c>
      <c r="B28" t="str">
        <f t="shared" si="0"/>
        <v>\@ref(eq:FitnessLoss)</v>
      </c>
      <c r="C28" t="s">
        <v>58</v>
      </c>
    </row>
    <row r="29" spans="1:3" x14ac:dyDescent="0.3">
      <c r="A29" t="s">
        <v>31</v>
      </c>
      <c r="B29" t="str">
        <f t="shared" si="0"/>
        <v>\@ref(eq:MeanFitness)</v>
      </c>
      <c r="C29" t="s">
        <v>58</v>
      </c>
    </row>
    <row r="30" spans="1:3" x14ac:dyDescent="0.3">
      <c r="A30" t="s">
        <v>32</v>
      </c>
      <c r="B30" t="str">
        <f t="shared" si="0"/>
        <v>\@ref(eq:MeanPhenotype)</v>
      </c>
      <c r="C30" t="s">
        <v>58</v>
      </c>
    </row>
    <row r="31" spans="1:3" x14ac:dyDescent="0.3">
      <c r="A31" t="s">
        <v>33</v>
      </c>
      <c r="B31" t="str">
        <f t="shared" si="0"/>
        <v>\@ref(eq:TraitValue)</v>
      </c>
      <c r="C31" t="s">
        <v>58</v>
      </c>
    </row>
    <row r="32" spans="1:3" x14ac:dyDescent="0.3">
      <c r="A32" t="s">
        <v>34</v>
      </c>
      <c r="B32" t="str">
        <f t="shared" si="0"/>
        <v>\@ref(eq:TraitValueNatural)</v>
      </c>
      <c r="C32" t="s">
        <v>58</v>
      </c>
    </row>
    <row r="33" spans="1:3" x14ac:dyDescent="0.3">
      <c r="A33" t="s">
        <v>35</v>
      </c>
      <c r="B33" t="str">
        <f t="shared" si="0"/>
        <v>\@ref(eq:TraitValueHatchery)</v>
      </c>
      <c r="C33" t="s">
        <v>58</v>
      </c>
    </row>
    <row r="34" spans="1:3" x14ac:dyDescent="0.3">
      <c r="A34" t="s">
        <v>36</v>
      </c>
      <c r="B34" t="str">
        <f t="shared" si="0"/>
        <v>\@ref(eq:GenMeanFitness)</v>
      </c>
      <c r="C34" t="s">
        <v>58</v>
      </c>
    </row>
    <row r="35" spans="1:3" x14ac:dyDescent="0.3">
      <c r="A35" t="s">
        <v>37</v>
      </c>
      <c r="B35" t="str">
        <f t="shared" si="0"/>
        <v>\@ref(eq:MTVMixedNatural)</v>
      </c>
      <c r="C35" t="s">
        <v>58</v>
      </c>
    </row>
    <row r="36" spans="1:3" x14ac:dyDescent="0.3">
      <c r="A36" t="s">
        <v>38</v>
      </c>
      <c r="B36" t="str">
        <f t="shared" si="0"/>
        <v>\@ref(eq:MTVMixedHatchery)</v>
      </c>
      <c r="C36" t="s">
        <v>58</v>
      </c>
    </row>
    <row r="37" spans="1:3" x14ac:dyDescent="0.3">
      <c r="A37" t="s">
        <v>39</v>
      </c>
      <c r="B37" t="str">
        <f t="shared" si="0"/>
        <v>\@ref(eq:MixedpNOS)</v>
      </c>
      <c r="C37" t="s">
        <v>58</v>
      </c>
    </row>
    <row r="38" spans="1:3" x14ac:dyDescent="0.3">
      <c r="A38" t="s">
        <v>40</v>
      </c>
      <c r="B38" t="str">
        <f t="shared" si="0"/>
        <v>\@ref(eq:MixedpHOSeff)</v>
      </c>
      <c r="C38" t="s">
        <v>58</v>
      </c>
    </row>
    <row r="39" spans="1:3" x14ac:dyDescent="0.3">
      <c r="A39" t="s">
        <v>41</v>
      </c>
      <c r="B39" t="str">
        <f t="shared" si="0"/>
        <v>\@ref(eq:MixedpNOB)</v>
      </c>
      <c r="C39" t="s">
        <v>58</v>
      </c>
    </row>
    <row r="40" spans="1:3" x14ac:dyDescent="0.3">
      <c r="A40" t="s">
        <v>42</v>
      </c>
      <c r="B40" t="str">
        <f t="shared" si="0"/>
        <v>\@ref(eq:MixedpHOB)</v>
      </c>
      <c r="C40" t="s">
        <v>58</v>
      </c>
    </row>
    <row r="41" spans="1:3" x14ac:dyDescent="0.3">
      <c r="A41" t="s">
        <v>43</v>
      </c>
      <c r="B41" t="str">
        <f t="shared" si="0"/>
        <v>\@ref(eq:EggFryFitness)</v>
      </c>
      <c r="C41" t="s">
        <v>58</v>
      </c>
    </row>
    <row r="42" spans="1:3" x14ac:dyDescent="0.3">
      <c r="A42" t="s">
        <v>44</v>
      </c>
      <c r="B42" t="str">
        <f t="shared" si="0"/>
        <v>\@ref(eq:RickerBeta)</v>
      </c>
      <c r="C42" t="s">
        <v>58</v>
      </c>
    </row>
    <row r="43" spans="1:3" x14ac:dyDescent="0.3">
      <c r="A43" t="s">
        <v>45</v>
      </c>
      <c r="B43" t="str">
        <f t="shared" si="0"/>
        <v>\@ref(eq:MarineMortIncrease)</v>
      </c>
      <c r="C43" t="s">
        <v>58</v>
      </c>
    </row>
    <row r="44" spans="1:3" x14ac:dyDescent="0.3">
      <c r="A44" t="s">
        <v>46</v>
      </c>
      <c r="B44" t="str">
        <f t="shared" si="0"/>
        <v>\@ref(eq:ProdAdjusted)</v>
      </c>
      <c r="C44" t="s">
        <v>58</v>
      </c>
    </row>
    <row r="45" spans="1:3" x14ac:dyDescent="0.3">
      <c r="A45" t="s">
        <v>47</v>
      </c>
      <c r="B45" t="str">
        <f t="shared" si="0"/>
        <v>\@ref(eq:PNI)</v>
      </c>
      <c r="C45" t="s">
        <v>58</v>
      </c>
    </row>
    <row r="46" spans="1:3" x14ac:dyDescent="0.3">
      <c r="A46" t="s">
        <v>48</v>
      </c>
      <c r="B46" t="str">
        <f t="shared" si="0"/>
        <v>\@ref(eq:AllImportPNI)</v>
      </c>
      <c r="C46" t="s">
        <v>58</v>
      </c>
    </row>
    <row r="47" spans="1:3" x14ac:dyDescent="0.3">
      <c r="A47" t="s">
        <v>49</v>
      </c>
      <c r="B47" t="str">
        <f t="shared" si="0"/>
        <v>\@ref(eq:pWild)</v>
      </c>
      <c r="C47" t="s">
        <v>58</v>
      </c>
    </row>
    <row r="48" spans="1:3" x14ac:dyDescent="0.3">
      <c r="A48" t="s">
        <v>50</v>
      </c>
      <c r="B48" t="str">
        <f t="shared" si="0"/>
        <v>\@ref(eq:pWildMixed)</v>
      </c>
      <c r="C48" t="s">
        <v>58</v>
      </c>
    </row>
    <row r="49" spans="1:3" x14ac:dyDescent="0.3">
      <c r="A49" t="s">
        <v>51</v>
      </c>
      <c r="B49" t="str">
        <f t="shared" si="0"/>
        <v>\@ref(eq:FishMortHatchery)</v>
      </c>
      <c r="C49" t="s">
        <v>58</v>
      </c>
    </row>
    <row r="50" spans="1:3" x14ac:dyDescent="0.3">
      <c r="A50" t="s">
        <v>52</v>
      </c>
      <c r="B50" t="str">
        <f t="shared" si="0"/>
        <v>\@ref(eq:FishMortNatural)</v>
      </c>
      <c r="C50" t="s">
        <v>58</v>
      </c>
    </row>
    <row r="51" spans="1:3" x14ac:dyDescent="0.3">
      <c r="A51" t="s">
        <v>53</v>
      </c>
      <c r="B51" t="str">
        <f t="shared" si="0"/>
        <v>\@ref(eq:KeptCatchMS)</v>
      </c>
      <c r="C51" t="s">
        <v>58</v>
      </c>
    </row>
    <row r="52" spans="1:3" x14ac:dyDescent="0.3">
      <c r="A52" t="s">
        <v>54</v>
      </c>
      <c r="B52" t="str">
        <f t="shared" si="0"/>
        <v>\@ref(eq:HarvTargetMS)</v>
      </c>
      <c r="C52" t="s">
        <v>58</v>
      </c>
    </row>
    <row r="53" spans="1:3" x14ac:dyDescent="0.3">
      <c r="A53" t="s">
        <v>55</v>
      </c>
      <c r="B53" t="str">
        <f t="shared" si="0"/>
        <v>\@ref(eq:CatchTargetMS)</v>
      </c>
      <c r="C53" t="s">
        <v>58</v>
      </c>
    </row>
    <row r="54" spans="1:3" x14ac:dyDescent="0.3">
      <c r="A54" t="s">
        <v>56</v>
      </c>
      <c r="B54" t="str">
        <f t="shared" si="0"/>
        <v>\@ref(eq:ExpRateMS)</v>
      </c>
      <c r="C54" t="s">
        <v>58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Brooke (she, her / elle) (DFO/MPO)</dc:creator>
  <cp:lastModifiedBy>Davis, Brooke (she, her / elle) (DFO/MPO)</cp:lastModifiedBy>
  <dcterms:created xsi:type="dcterms:W3CDTF">2026-02-20T22:42:43Z</dcterms:created>
  <dcterms:modified xsi:type="dcterms:W3CDTF">2026-03-20T22:45:15Z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2026-02-20T22:44:02Z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81b10dc7-7a59-4bb6-a7e0-63906a5c2973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